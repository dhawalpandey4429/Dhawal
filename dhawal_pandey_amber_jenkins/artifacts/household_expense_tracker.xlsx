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Tracker" sheetId="1" state="visible" r:id="rId1"/>
    <sheet xmlns:r="http://schemas.openxmlformats.org/officeDocument/2006/relationships" name="Discrepancy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4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i val="1"/>
      <color rgb="006B7280"/>
      <sz val="10"/>
    </font>
    <font>
      <name val="Arial"/>
      <b val="1"/>
      <color rgb="00FFFFFF"/>
      <sz val="10"/>
    </font>
    <font>
      <name val="Arial"/>
      <color rgb="0092400E"/>
      <sz val="10"/>
    </font>
    <font>
      <name val="Arial"/>
      <b val="1"/>
      <color rgb="0092400E"/>
      <sz val="10"/>
    </font>
    <font>
      <name val="Arial"/>
      <color rgb="001A6B3C"/>
      <sz val="10"/>
    </font>
    <font>
      <name val="Arial"/>
      <b val="1"/>
      <color rgb="001A6B3C"/>
      <sz val="10"/>
    </font>
    <font>
      <name val="Arial"/>
      <color rgb="00C0392B"/>
      <sz val="10"/>
    </font>
    <font>
      <name val="Arial"/>
      <b val="1"/>
      <color rgb="00C0392B"/>
      <sz val="10"/>
    </font>
    <font>
      <name val="Arial"/>
      <b val="1"/>
      <color rgb="00FFFFFF"/>
      <sz val="11"/>
    </font>
    <font>
      <name val="Arial"/>
      <b val="1"/>
      <color rgb="007B2D00"/>
      <sz val="13"/>
    </font>
    <font>
      <name val="Arial"/>
      <sz val="10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F8FAFC"/>
      </patternFill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EF9C3"/>
      </patternFill>
    </fill>
    <fill>
      <patternFill patternType="solid">
        <fgColor rgb="00F9FAFB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DF6F0"/>
      </patternFill>
    </fill>
    <fill>
      <patternFill patternType="solid">
        <fgColor rgb="007B2D0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164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vertical="center" wrapText="1"/>
    </xf>
    <xf numFmtId="164" fontId="6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center" wrapText="1"/>
    </xf>
    <xf numFmtId="164" fontId="6" fillId="4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vertical="center" wrapText="1"/>
    </xf>
    <xf numFmtId="164" fontId="8" fillId="6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10" fillId="3" borderId="1" applyAlignment="1" pivotButton="0" quotePrefix="0" xfId="0">
      <alignment horizontal="right" vertical="center"/>
    </xf>
    <xf numFmtId="0" fontId="11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24" customWidth="1" min="4" max="4"/>
    <col width="14" customWidth="1" min="5" max="5"/>
    <col width="16" customWidth="1" min="6" max="6"/>
    <col width="16" customWidth="1" min="7" max="7"/>
    <col width="16" customWidth="1" min="8" max="8"/>
    <col width="12" customWidth="1" min="9" max="9"/>
    <col width="55" customWidth="1" min="10" max="10"/>
  </cols>
  <sheetData>
    <row r="1" ht="32" customHeight="1">
      <c r="A1" s="1" t="inlineStr">
        <is>
          <t>Household Expense &amp; Payment Tracker — Amber Jenkins</t>
        </is>
      </c>
    </row>
    <row r="2" ht="22" customHeight="1">
      <c r="A2" s="2" t="inlineStr">
        <is>
          <t>Period: October 2024   |   Account Reference: WB-CHK-00284731   |   Last Updated: October 31, 2024</t>
        </is>
      </c>
    </row>
    <row r="3" ht="30" customHeight="1">
      <c r="A3" s="3" t="inlineStr">
        <is>
          <t>#</t>
        </is>
      </c>
      <c r="B3" s="3" t="inlineStr">
        <is>
          <t>Vendor / Provider</t>
        </is>
      </c>
      <c r="C3" s="3" t="inlineStr">
        <is>
          <t>Account #</t>
        </is>
      </c>
      <c r="D3" s="3" t="inlineStr">
        <is>
          <t>Invoice #</t>
        </is>
      </c>
      <c r="E3" s="3" t="inlineStr">
        <is>
          <t>Billing Period</t>
        </is>
      </c>
      <c r="F3" s="3" t="inlineStr">
        <is>
          <t>Invoice Amount ($)</t>
        </is>
      </c>
      <c r="G3" s="3" t="inlineStr">
        <is>
          <t>Amount Paid ($)</t>
        </is>
      </c>
      <c r="H3" s="3" t="inlineStr">
        <is>
          <t>Payment Date</t>
        </is>
      </c>
      <c r="I3" s="3" t="inlineStr">
        <is>
          <t>Status</t>
        </is>
      </c>
      <c r="J3" s="3" t="inlineStr">
        <is>
          <t>Notes</t>
        </is>
      </c>
    </row>
    <row r="4" ht="28" customHeight="1">
      <c r="A4" s="4" t="n">
        <v>1</v>
      </c>
      <c r="B4" s="5" t="inlineStr">
        <is>
          <t>LumiVolt Energy</t>
        </is>
      </c>
      <c r="C4" s="5" t="inlineStr">
        <is>
          <t>LV-881-447703</t>
        </is>
      </c>
      <c r="D4" s="5" t="inlineStr">
        <is>
          <t>LV-INV-202409-4477</t>
        </is>
      </c>
      <c r="E4" s="5" t="inlineStr">
        <is>
          <t>Sep 2024</t>
        </is>
      </c>
      <c r="F4" s="6" t="n">
        <v>142.5</v>
      </c>
      <c r="G4" s="6" t="n">
        <v>134.72</v>
      </c>
      <c r="H4" s="5" t="inlineStr">
        <is>
          <t>Oct 5, 2024</t>
        </is>
      </c>
      <c r="I4" s="7" t="inlineStr">
        <is>
          <t>PARTIAL</t>
        </is>
      </c>
      <c r="J4" s="5" t="inlineStr">
        <is>
          <t>⚠ Payment short by $7.78 — confirmation screenshot shows $134.72 but bill total is $142.50</t>
        </is>
      </c>
    </row>
    <row r="5" ht="28" customHeight="1">
      <c r="A5" s="8" t="n">
        <v>2</v>
      </c>
      <c r="B5" s="9" t="inlineStr">
        <is>
          <t>NexWave Internet Services</t>
        </is>
      </c>
      <c r="C5" s="9" t="inlineStr">
        <is>
          <t>NW-55-209-0034</t>
        </is>
      </c>
      <c r="D5" s="9" t="inlineStr">
        <is>
          <t>NW-INV-202409-0034</t>
        </is>
      </c>
      <c r="E5" s="9" t="inlineStr">
        <is>
          <t>Sep 2024</t>
        </is>
      </c>
      <c r="F5" s="10" t="n">
        <v>89.98999999999999</v>
      </c>
      <c r="G5" s="10" t="n">
        <v>89.98999999999999</v>
      </c>
      <c r="H5" s="9" t="inlineStr">
        <is>
          <t>Oct 10, 2024</t>
        </is>
      </c>
      <c r="I5" s="11" t="inlineStr">
        <is>
          <t>PAID</t>
        </is>
      </c>
      <c r="J5" s="9" t="inlineStr">
        <is>
          <t>Bank statement confirms $89.99 paid Oct 10 — CONTRADICTS billing notice NW-2024-10-B0042 which shows UNPAID as of Oct 12</t>
        </is>
      </c>
    </row>
    <row r="6" ht="28" customHeight="1">
      <c r="A6" s="12" t="n">
        <v>3</v>
      </c>
      <c r="B6" s="13" t="inlineStr">
        <is>
          <t>ClearStream Mobile</t>
        </is>
      </c>
      <c r="C6" s="13" t="inlineStr">
        <is>
          <t>CS-774-221908</t>
        </is>
      </c>
      <c r="D6" s="13" t="inlineStr">
        <is>
          <t>CS-2024-0982</t>
        </is>
      </c>
      <c r="E6" s="13" t="inlineStr">
        <is>
          <t>Sep 2024</t>
        </is>
      </c>
      <c r="F6" s="14" t="n">
        <v>67.5</v>
      </c>
      <c r="G6" s="14" t="n">
        <v>67.5</v>
      </c>
      <c r="H6" s="13" t="inlineStr">
        <is>
          <t>Oct 12, 2024</t>
        </is>
      </c>
      <c r="I6" s="11" t="inlineStr">
        <is>
          <t>PAID</t>
        </is>
      </c>
      <c r="J6" s="13" t="inlineStr">
        <is>
          <t>Mobile bill confirms PAID via Auto-Pay Oct 12 — account status screenshot incorrectly shows UNPAID for CS-2024-0982</t>
        </is>
      </c>
    </row>
    <row r="7" ht="28" customHeight="1">
      <c r="A7" s="15" t="n">
        <v>4</v>
      </c>
      <c r="B7" s="16" t="inlineStr">
        <is>
          <t>GreenFlame Gas Co.</t>
        </is>
      </c>
      <c r="C7" s="16" t="inlineStr">
        <is>
          <t>GF-009-38821</t>
        </is>
      </c>
      <c r="D7" s="16" t="inlineStr">
        <is>
          <t>GF-INV-202409-0991</t>
        </is>
      </c>
      <c r="E7" s="16" t="inlineStr">
        <is>
          <t>Sep 2024</t>
        </is>
      </c>
      <c r="F7" s="17" t="n">
        <v>58.3</v>
      </c>
      <c r="G7" s="17" t="n">
        <v>0</v>
      </c>
      <c r="H7" s="16" t="inlineStr"/>
      <c r="I7" s="18" t="inlineStr">
        <is>
          <t>UNPAID</t>
        </is>
      </c>
      <c r="J7" s="16" t="inlineStr">
        <is>
          <t>No bank payment found — outstanding. Due Oct 20, 2024</t>
        </is>
      </c>
    </row>
    <row r="8" ht="28" customHeight="1">
      <c r="A8" s="12" t="n">
        <v>5</v>
      </c>
      <c r="B8" s="13" t="inlineStr">
        <is>
          <t>Ridgemont Water Authority</t>
        </is>
      </c>
      <c r="C8" s="13" t="inlineStr">
        <is>
          <t>RWA-44-02219</t>
        </is>
      </c>
      <c r="D8" s="13" t="inlineStr">
        <is>
          <t>RWA-2024-09-2219</t>
        </is>
      </c>
      <c r="E8" s="13" t="inlineStr">
        <is>
          <t>Sep 2024</t>
        </is>
      </c>
      <c r="F8" s="14" t="n">
        <v>34</v>
      </c>
      <c r="G8" s="14" t="n">
        <v>34</v>
      </c>
      <c r="H8" s="13" t="inlineStr">
        <is>
          <t>Oct 8, 2024</t>
        </is>
      </c>
      <c r="I8" s="11" t="inlineStr">
        <is>
          <t>PAID</t>
        </is>
      </c>
      <c r="J8" s="13" t="inlineStr">
        <is>
          <t>Auto-debit confirmed. No discrepancies.</t>
        </is>
      </c>
    </row>
    <row r="9" ht="28" customHeight="1">
      <c r="A9" s="8" t="n">
        <v>6</v>
      </c>
      <c r="B9" s="9" t="inlineStr">
        <is>
          <t>StreamVault Media (streaming)</t>
        </is>
      </c>
      <c r="C9" s="9" t="inlineStr">
        <is>
          <t>SV-user-7742</t>
        </is>
      </c>
      <c r="D9" s="9" t="inlineStr">
        <is>
          <t>SV-OCT-7742</t>
        </is>
      </c>
      <c r="E9" s="9" t="inlineStr">
        <is>
          <t>Oct 2024</t>
        </is>
      </c>
      <c r="F9" s="10" t="n">
        <v>12.99</v>
      </c>
      <c r="G9" s="10" t="n">
        <v>12.99</v>
      </c>
      <c r="H9" s="9" t="inlineStr">
        <is>
          <t>Oct 1, 2024</t>
        </is>
      </c>
      <c r="I9" s="11" t="inlineStr">
        <is>
          <t>PAID</t>
        </is>
      </c>
      <c r="J9" s="9" t="inlineStr">
        <is>
          <t>Auto-renewal confirmed.</t>
        </is>
      </c>
    </row>
    <row r="10" ht="28" customHeight="1">
      <c r="A10" s="12" t="n">
        <v>7</v>
      </c>
      <c r="B10" s="13" t="inlineStr">
        <is>
          <t>SoundHaven Music</t>
        </is>
      </c>
      <c r="C10" s="13" t="inlineStr">
        <is>
          <t>SH-88892</t>
        </is>
      </c>
      <c r="D10" s="13" t="inlineStr">
        <is>
          <t>SH-OCT-88892</t>
        </is>
      </c>
      <c r="E10" s="13" t="inlineStr">
        <is>
          <t>Oct 2024</t>
        </is>
      </c>
      <c r="F10" s="14" t="n">
        <v>9.99</v>
      </c>
      <c r="G10" s="14" t="n">
        <v>9.99</v>
      </c>
      <c r="H10" s="13" t="inlineStr">
        <is>
          <t>Oct 1, 2024</t>
        </is>
      </c>
      <c r="I10" s="11" t="inlineStr">
        <is>
          <t>PAID</t>
        </is>
      </c>
      <c r="J10" s="13" t="inlineStr">
        <is>
          <t>Auto-renewal confirmed.</t>
        </is>
      </c>
    </row>
    <row r="11" ht="28" customHeight="1">
      <c r="A11" s="15" t="n">
        <v>8</v>
      </c>
      <c r="B11" s="16" t="inlineStr">
        <is>
          <t>PrimeVision TV Bundle</t>
        </is>
      </c>
      <c r="C11" s="16" t="inlineStr">
        <is>
          <t>PV-331-7710</t>
        </is>
      </c>
      <c r="D11" s="16" t="inlineStr">
        <is>
          <t>PV-INV-202410-7710</t>
        </is>
      </c>
      <c r="E11" s="16" t="inlineStr">
        <is>
          <t>Oct 2024</t>
        </is>
      </c>
      <c r="F11" s="17" t="n">
        <v>25.77</v>
      </c>
      <c r="G11" s="17" t="n">
        <v>0</v>
      </c>
      <c r="H11" s="16" t="inlineStr"/>
      <c r="I11" s="18" t="inlineStr">
        <is>
          <t>UNPAID</t>
        </is>
      </c>
      <c r="J11" s="16" t="inlineStr">
        <is>
          <t>Invoice received Oct 5. Due Oct 25. Not yet paid.</t>
        </is>
      </c>
    </row>
    <row r="12" ht="28" customHeight="1">
      <c r="A12" s="12" t="n">
        <v>9</v>
      </c>
      <c r="B12" s="13" t="inlineStr">
        <is>
          <t>Maplewood HOA</t>
        </is>
      </c>
      <c r="C12" s="13" t="inlineStr">
        <is>
          <t>HOA-2024-0091</t>
        </is>
      </c>
      <c r="D12" s="13" t="inlineStr">
        <is>
          <t>HOA-Q4-2024</t>
        </is>
      </c>
      <c r="E12" s="13" t="inlineStr">
        <is>
          <t>Q4 2024</t>
        </is>
      </c>
      <c r="F12" s="14" t="n">
        <v>175</v>
      </c>
      <c r="G12" s="14" t="n">
        <v>175</v>
      </c>
      <c r="H12" s="13" t="inlineStr">
        <is>
          <t>Oct 2, 2024</t>
        </is>
      </c>
      <c r="I12" s="11" t="inlineStr">
        <is>
          <t>PAID</t>
        </is>
      </c>
      <c r="J12" s="13" t="inlineStr">
        <is>
          <t>Quarterly fee — check #4412 deposited.</t>
        </is>
      </c>
    </row>
    <row r="13" ht="28" customHeight="1">
      <c r="A13" s="15" t="n">
        <v>10</v>
      </c>
      <c r="B13" s="16" t="inlineStr">
        <is>
          <t>GreenFlame Gas Co.</t>
        </is>
      </c>
      <c r="C13" s="16" t="inlineStr">
        <is>
          <t>GF-009-38821</t>
        </is>
      </c>
      <c r="D13" s="16" t="inlineStr">
        <is>
          <t>GF-INV-202410-1103</t>
        </is>
      </c>
      <c r="E13" s="16" t="inlineStr">
        <is>
          <t>Oct 2024</t>
        </is>
      </c>
      <c r="F13" s="17" t="n">
        <v>61.4</v>
      </c>
      <c r="G13" s="17" t="n">
        <v>0</v>
      </c>
      <c r="H13" s="16" t="inlineStr"/>
      <c r="I13" s="18" t="inlineStr">
        <is>
          <t>UNPAID</t>
        </is>
      </c>
      <c r="J13" s="16" t="inlineStr">
        <is>
          <t>Invoice dated Oct 30. Due Nov 18, 2024.</t>
        </is>
      </c>
    </row>
    <row r="14" ht="28" customHeight="1">
      <c r="A14" s="19" t="inlineStr">
        <is>
          <t>TOTALS</t>
        </is>
      </c>
      <c r="B14" s="20" t="n"/>
      <c r="C14" s="20" t="n"/>
      <c r="D14" s="20" t="n"/>
      <c r="E14" s="20" t="n"/>
      <c r="F14" s="21">
        <f>SUM(F4:F13)</f>
        <v/>
      </c>
      <c r="G14" s="21">
        <f>SUM(G4:G13)</f>
        <v/>
      </c>
      <c r="H14" s="20" t="n"/>
      <c r="I14" s="20" t="n"/>
      <c r="J14" s="20" t="n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8" customWidth="1" min="3" max="3"/>
    <col width="28" customWidth="1" min="4" max="4"/>
    <col width="50" customWidth="1" min="5" max="5"/>
    <col width="10" customWidth="1" min="6" max="6"/>
  </cols>
  <sheetData>
    <row r="1" ht="30" customHeight="1">
      <c r="A1" s="22" t="inlineStr">
        <is>
          <t>Payment Discrepancy Log — October 2024</t>
        </is>
      </c>
    </row>
    <row r="2" ht="28" customHeight="1">
      <c r="A2" s="23" t="inlineStr">
        <is>
          <t>#</t>
        </is>
      </c>
      <c r="B2" s="23" t="inlineStr">
        <is>
          <t>Provider</t>
        </is>
      </c>
      <c r="C2" s="23" t="inlineStr">
        <is>
          <t>Document A</t>
        </is>
      </c>
      <c r="D2" s="23" t="inlineStr">
        <is>
          <t>Document B</t>
        </is>
      </c>
      <c r="E2" s="23" t="inlineStr">
        <is>
          <t>Discrepancy Description</t>
        </is>
      </c>
      <c r="F2" s="23" t="inlineStr">
        <is>
          <t>Severity</t>
        </is>
      </c>
    </row>
    <row r="3" ht="60" customHeight="1">
      <c r="A3" s="24" t="n">
        <v>1</v>
      </c>
      <c r="B3" s="25" t="inlineStr">
        <is>
          <t>LumiVolt Energy</t>
        </is>
      </c>
      <c r="C3" s="25" t="inlineStr">
        <is>
          <t>Utility Bill (Invoice $142.50)</t>
        </is>
      </c>
      <c r="D3" s="25" t="inlineStr">
        <is>
          <t>Payment Confirmation Screenshot ($134.72)</t>
        </is>
      </c>
      <c r="E3" s="25" t="inlineStr">
        <is>
          <t>Invoice total is $142.50 but payment screenshot and bank statement show only $134.72 paid. Remaining $7.78 outstanding.</t>
        </is>
      </c>
      <c r="F3" s="26" t="inlineStr">
        <is>
          <t>HIGH</t>
        </is>
      </c>
    </row>
    <row r="4" ht="60" customHeight="1">
      <c r="A4" s="27" t="n">
        <v>2</v>
      </c>
      <c r="B4" s="28" t="inlineStr">
        <is>
          <t>NexWave Internet</t>
        </is>
      </c>
      <c r="C4" s="28" t="inlineStr">
        <is>
          <t>Billing Notice NW-2024-10-B0042 (shows UNPAID)</t>
        </is>
      </c>
      <c r="D4" s="28" t="inlineStr">
        <is>
          <t>Bank Statement (payment $89.99 on Oct 10)</t>
        </is>
      </c>
      <c r="E4" s="28" t="inlineStr">
        <is>
          <t>Bank confirms full $89.99 payment on Oct 10, 2024 — billing notice issued Oct 12 still shows balance due $89.99. System lag or unapplied payment.</t>
        </is>
      </c>
      <c r="F4" s="26" t="inlineStr">
        <is>
          <t>HIGH</t>
        </is>
      </c>
    </row>
    <row r="5" ht="60" customHeight="1">
      <c r="A5" s="24" t="n">
        <v>3</v>
      </c>
      <c r="B5" s="25" t="inlineStr">
        <is>
          <t>ClearStream Mobile</t>
        </is>
      </c>
      <c r="C5" s="25" t="inlineStr">
        <is>
          <t>Mobile Bill CS-2024-0982 (shows PAID Oct 12)</t>
        </is>
      </c>
      <c r="D5" s="25" t="inlineStr">
        <is>
          <t>Account Status Screenshot (shows UNPAID for CS-2024-0982)</t>
        </is>
      </c>
      <c r="E5" s="25" t="inlineStr">
        <is>
          <t>Mobile bill confirms Auto-Pay processed Oct 12 with transaction ref CS-AP-1092840. Account portal shows UNPAID. Portal data likely stale.</t>
        </is>
      </c>
      <c r="F5" s="29" t="inlineStr">
        <is>
          <t>MEDIUM</t>
        </is>
      </c>
    </row>
    <row r="6" ht="60" customHeight="1">
      <c r="A6" s="27" t="n">
        <v>4</v>
      </c>
      <c r="B6" s="28" t="inlineStr">
        <is>
          <t>GreenFlame Gas Co.</t>
        </is>
      </c>
      <c r="C6" s="28" t="inlineStr">
        <is>
          <t>Expense Tracker (Sep invoice GF-INV-202409-0991, $58.30)</t>
        </is>
      </c>
      <c r="D6" s="28" t="inlineStr">
        <is>
          <t>Bank Statement (no matching debit found)</t>
        </is>
      </c>
      <c r="E6" s="28" t="inlineStr">
        <is>
          <t>GreenFlame September invoice for $58.30 due Oct 20 not present in bank statement. Payment was not made. Outstanding.</t>
        </is>
      </c>
      <c r="F6" s="26" t="inlineStr">
        <is>
          <t>HIGH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2026-06-14T12:07:41Z</dcterms:created>
  <dcterms:modified xmlns:dcterms="http://purl.org/dc/terms/" xmlns:xsi="http://www.w3.org/2001/XMLSchema-instance" xsi:type="dcterms:W3CDTF">2026-06-14T12:07:41Z</dcterms:modified>
</cp:coreProperties>
</file>